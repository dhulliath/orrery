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eter.olejniczak/Development/web/orrery/_planning/"/>
    </mc:Choice>
  </mc:AlternateContent>
  <xr:revisionPtr revIDLastSave="0" documentId="13_ncr:1_{6117DC3F-980E-CA48-8C81-6D5962DF3960}" xr6:coauthVersionLast="36" xr6:coauthVersionMax="36" xr10:uidLastSave="{00000000-0000-0000-0000-000000000000}"/>
  <bookViews>
    <workbookView xWindow="540" yWindow="820" windowWidth="24760" windowHeight="17440" xr2:uid="{947C8936-02F9-C340-A2F0-FA75A0C5350E}"/>
  </bookViews>
  <sheets>
    <sheet name="Sheet1" sheetId="1" r:id="rId1"/>
  </sheets>
  <functionGroups builtInGroupCount="19"/>
  <definedNames>
    <definedName name="_AU">Sheet1!$B$5</definedName>
    <definedName name="_DiameterMax">Sheet1!$K$16</definedName>
    <definedName name="_DiameterMin">Sheet1!$K$15</definedName>
    <definedName name="_DistanceMax">Sheet1!$D$15</definedName>
    <definedName name="_DistanceMin">Sheet1!$D$16</definedName>
    <definedName name="_EarthRadius">Sheet1!$F$5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B2" i="1"/>
  <c r="C13" i="1"/>
  <c r="D13" i="1" s="1"/>
  <c r="C12" i="1"/>
  <c r="D12" i="1" s="1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2" i="1"/>
  <c r="D2" i="1" s="1"/>
  <c r="J12" i="1"/>
  <c r="J6" i="1"/>
  <c r="J11" i="1"/>
  <c r="J5" i="1"/>
  <c r="J3" i="1"/>
  <c r="J8" i="1"/>
  <c r="J7" i="1"/>
  <c r="J10" i="1"/>
  <c r="J4" i="1"/>
  <c r="J9" i="1"/>
  <c r="J13" i="1"/>
  <c r="J2" i="1"/>
  <c r="K2" i="1" l="1"/>
  <c r="K13" i="1"/>
  <c r="K9" i="1"/>
  <c r="K4" i="1"/>
  <c r="K10" i="1"/>
  <c r="K7" i="1"/>
  <c r="K8" i="1"/>
  <c r="K3" i="1"/>
  <c r="K16" i="1" s="1"/>
  <c r="K11" i="1"/>
  <c r="K6" i="1"/>
  <c r="K12" i="1"/>
  <c r="C16" i="1"/>
  <c r="D16" i="1"/>
  <c r="C15" i="1"/>
  <c r="D15" i="1"/>
  <c r="E11" i="1" s="1"/>
  <c r="K5" i="1"/>
  <c r="K15" i="1"/>
  <c r="E8" i="1" l="1"/>
  <c r="E13" i="1"/>
  <c r="E10" i="1"/>
  <c r="E7" i="1"/>
  <c r="E5" i="1"/>
  <c r="E2" i="1"/>
  <c r="E9" i="1"/>
  <c r="E12" i="1"/>
  <c r="E4" i="1"/>
  <c r="E6" i="1"/>
  <c r="E3" i="1"/>
  <c r="L2" i="1"/>
  <c r="L6" i="1"/>
  <c r="L10" i="1"/>
  <c r="L3" i="1"/>
  <c r="L7" i="1"/>
  <c r="L11" i="1"/>
  <c r="L4" i="1"/>
  <c r="L12" i="1"/>
  <c r="L9" i="1"/>
  <c r="L13" i="1"/>
  <c r="L8" i="1"/>
  <c r="L5" i="1"/>
</calcChain>
</file>

<file path=xl/sharedStrings.xml><?xml version="1.0" encoding="utf-8"?>
<sst xmlns="http://schemas.openxmlformats.org/spreadsheetml/2006/main" count="49" uniqueCount="49">
  <si>
    <t>Object</t>
  </si>
  <si>
    <t>Sun</t>
  </si>
  <si>
    <t>Mercury</t>
  </si>
  <si>
    <t>Venus</t>
  </si>
  <si>
    <t>Earth</t>
  </si>
  <si>
    <t>Mars</t>
  </si>
  <si>
    <t>Jupiter</t>
  </si>
  <si>
    <t>Saturn</t>
  </si>
  <si>
    <t>Uranus</t>
  </si>
  <si>
    <t>Neptune</t>
  </si>
  <si>
    <t>Pluto</t>
  </si>
  <si>
    <t>Distance (AU)</t>
  </si>
  <si>
    <t>Log Distance</t>
  </si>
  <si>
    <t>Length of Day (days)</t>
  </si>
  <si>
    <t>Moon</t>
  </si>
  <si>
    <t>Ceres</t>
  </si>
  <si>
    <t>Angular Diameter (Minimum)</t>
  </si>
  <si>
    <t>Angular Diameter (Maximum)</t>
  </si>
  <si>
    <t>0° 31'27"</t>
  </si>
  <si>
    <t>0° 0'4.5"</t>
  </si>
  <si>
    <t>0° 0'9.7"</t>
  </si>
  <si>
    <t>0° 0'3.5"</t>
  </si>
  <si>
    <t>0° 0'29.8"</t>
  </si>
  <si>
    <t>0° 0'14.5"</t>
  </si>
  <si>
    <t>0° 0'3.3"</t>
  </si>
  <si>
    <t>0° 0'2.2"</t>
  </si>
  <si>
    <t>0° 0'0.06"</t>
  </si>
  <si>
    <t>0° 0'0.33"</t>
  </si>
  <si>
    <t>0° 0'13"</t>
  </si>
  <si>
    <t>0° 29'20"</t>
  </si>
  <si>
    <t>0° 0'25.1"</t>
  </si>
  <si>
    <t>0° 0'50.1"</t>
  </si>
  <si>
    <t>0° 0'20.1"</t>
  </si>
  <si>
    <t>0° 0'4.1"</t>
  </si>
  <si>
    <t>0° 0'2.4"</t>
  </si>
  <si>
    <t>0° 0'0.11"</t>
  </si>
  <si>
    <t>0° 34'6"</t>
  </si>
  <si>
    <t>0° 0'0.84"</t>
  </si>
  <si>
    <t>0° 32'32"</t>
  </si>
  <si>
    <t>0° 1'6"</t>
  </si>
  <si>
    <t>0° 0'0.1"</t>
  </si>
  <si>
    <t>LogDiameter</t>
  </si>
  <si>
    <t>Angular Max Decimal</t>
  </si>
  <si>
    <t>360° 0'0"</t>
  </si>
  <si>
    <t>Distance (km)</t>
  </si>
  <si>
    <t>Column1</t>
  </si>
  <si>
    <t>Relative Distance</t>
  </si>
  <si>
    <t>Relative Diameter</t>
  </si>
  <si>
    <t>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</si>
</sst>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223CB6-4A98-2B47-8360-EA95F8FC9E16}" name="Table1" displayName="Table1" ref="A1:M13" totalsRowShown="0" headerRowDxfId="5">
  <autoFilter ref="A1:M13" xr:uid="{646161E4-8BF6-9B47-8753-4A71DF8F87BF}"/>
  <tableColumns count="13">
    <tableColumn id="1" xr3:uid="{BFDB119B-C336-F045-BD54-FDB1B7AAF6A9}" name="Object"/>
    <tableColumn id="2" xr3:uid="{3C904F10-9CF7-AC44-B8AE-B2165D9F11E4}" name="Distance (km)"/>
    <tableColumn id="3" xr3:uid="{782C0C1C-D6FE-CC45-BB92-942A042E3B5B}" name="Distance (AU)">
      <calculatedColumnFormula>B2/_AU</calculatedColumnFormula>
    </tableColumn>
    <tableColumn id="4" xr3:uid="{39C649FD-AD21-CE44-B0E7-E05272ADB073}" name="Log Distance">
      <calculatedColumnFormula>LOG(C2)</calculatedColumnFormula>
    </tableColumn>
    <tableColumn id="13" xr3:uid="{0F2173A2-3757-8C4F-AFD6-621C08B6D4DB}" name="Relative Distance" dataDxfId="1">
      <calculatedColumnFormula>(D2-_DistanceMin)/(_DistanceMax-_DistanceMin)</calculatedColumnFormula>
    </tableColumn>
    <tableColumn id="14" xr3:uid="{B5FBBABA-5AC4-7F41-A2B9-5D51611F9925}" name="Radius"/>
    <tableColumn id="5" xr3:uid="{E928DBC1-0A5C-E44F-9376-CE55B8B3BD43}" name="Length of Day (days)"/>
    <tableColumn id="6" xr3:uid="{60565798-5D16-2241-A18E-3DDB0CC65A47}" name="Angular Diameter (Minimum)"/>
    <tableColumn id="7" xr3:uid="{3865E79C-F926-BE4F-955D-B7DDCFAFD824}" name="Angular Diameter (Maximum)"/>
    <tableColumn id="9" xr3:uid="{13052432-BA45-BB4D-BFAD-E86427322974}" name="Angular Max Decimal" dataDxfId="4">
      <calculatedColumnFormula>Convert_Decimal(I2)</calculatedColumnFormula>
    </tableColumn>
    <tableColumn id="11" xr3:uid="{545B456F-844C-4E4D-A75D-159622CEA508}" name="LogDiameter" dataDxfId="3">
      <calculatedColumnFormula>LOG(1/J2)</calculatedColumnFormula>
    </tableColumn>
    <tableColumn id="12" xr3:uid="{000F373C-D8CE-8D4F-BB8C-77978E856F26}" name="Relative Diameter" dataDxfId="2">
      <calculatedColumnFormula>(K2-_DiameterMin)/(_DiameterMax-_DiameterMin)</calculatedColumnFormula>
    </tableColumn>
    <tableColumn id="15" xr3:uid="{4563ACD2-C6A3-5B43-8285-D447AC921D7F}" name="Column1" dataDxfId="0">
      <calculatedColumnFormula>L2*_EarthRadius/100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6D48-27D6-3B45-9A14-7B82D06CD5E8}">
  <sheetPr codeName="Sheet1"/>
  <dimension ref="A1:M16"/>
  <sheetViews>
    <sheetView tabSelected="1" workbookViewId="0">
      <selection activeCell="M3" sqref="M3"/>
    </sheetView>
  </sheetViews>
  <sheetFormatPr baseColWidth="10" defaultRowHeight="16" x14ac:dyDescent="0.2"/>
  <cols>
    <col min="2" max="2" width="17" customWidth="1"/>
    <col min="3" max="3" width="15" customWidth="1"/>
    <col min="4" max="6" width="14" customWidth="1"/>
    <col min="7" max="7" width="25.83203125" customWidth="1"/>
    <col min="8" max="9" width="13.33203125" customWidth="1"/>
  </cols>
  <sheetData>
    <row r="1" spans="1:13" s="1" customFormat="1" ht="60" customHeight="1" x14ac:dyDescent="0.2">
      <c r="A1" s="1" t="s">
        <v>0</v>
      </c>
      <c r="B1" s="1" t="s">
        <v>44</v>
      </c>
      <c r="C1" s="1" t="s">
        <v>11</v>
      </c>
      <c r="D1" s="1" t="s">
        <v>12</v>
      </c>
      <c r="E1" s="1" t="s">
        <v>46</v>
      </c>
      <c r="F1" s="1" t="s">
        <v>48</v>
      </c>
      <c r="G1" s="1" t="s">
        <v>13</v>
      </c>
      <c r="H1" s="1" t="s">
        <v>16</v>
      </c>
      <c r="I1" s="1" t="s">
        <v>17</v>
      </c>
      <c r="J1" s="1" t="s">
        <v>42</v>
      </c>
      <c r="K1" s="1" t="s">
        <v>41</v>
      </c>
      <c r="L1" s="1" t="s">
        <v>47</v>
      </c>
      <c r="M1" s="1" t="s">
        <v>45</v>
      </c>
    </row>
    <row r="2" spans="1:13" x14ac:dyDescent="0.2">
      <c r="A2" t="s">
        <v>1</v>
      </c>
      <c r="B2">
        <f>_AU</f>
        <v>147098291</v>
      </c>
      <c r="C2">
        <f>B2/_AU</f>
        <v>1</v>
      </c>
      <c r="D2">
        <f>LOG(C2)</f>
        <v>0</v>
      </c>
      <c r="E2">
        <f>(D2-_DistanceMin)/(_DistanceMax-_DistanceMin)</f>
        <v>0.63771502012956838</v>
      </c>
      <c r="G2">
        <v>25.379995000000001</v>
      </c>
      <c r="H2" t="s">
        <v>18</v>
      </c>
      <c r="I2" t="s">
        <v>38</v>
      </c>
      <c r="J2">
        <f>Convert_Decimal(I2)</f>
        <v>0.53388888888888886</v>
      </c>
      <c r="K2" s="2">
        <f t="shared" ref="K2:K13" si="0">LOG(1/J2)</f>
        <v>0.27254911743476073</v>
      </c>
      <c r="L2" s="2">
        <f>(K2-_DiameterMin)/(_DiameterMax-_DiameterMin)</f>
        <v>0.60227629432652152</v>
      </c>
      <c r="M2" s="2">
        <f>L2*_EarthRadius/100</f>
        <v>38.371022711542686</v>
      </c>
    </row>
    <row r="3" spans="1:13" x14ac:dyDescent="0.2">
      <c r="A3" t="s">
        <v>2</v>
      </c>
      <c r="B3">
        <v>46001009</v>
      </c>
      <c r="C3">
        <f>B3/_AU</f>
        <v>0.31272293299451043</v>
      </c>
      <c r="D3">
        <f t="shared" ref="D3:D11" si="1">LOG(C3)</f>
        <v>-0.50484026935581061</v>
      </c>
      <c r="E3">
        <f>(D3-_DistanceMin)/(_DistanceMax-_DistanceMin)</f>
        <v>0.51427866073397344</v>
      </c>
      <c r="G3">
        <v>58.6462</v>
      </c>
      <c r="H3" t="s">
        <v>19</v>
      </c>
      <c r="I3" t="s">
        <v>28</v>
      </c>
      <c r="J3">
        <f>Convert_Decimal(I3)</f>
        <v>8.3333333333333339E-4</v>
      </c>
      <c r="K3" s="2">
        <f t="shared" si="0"/>
        <v>3.0791812460476247</v>
      </c>
      <c r="L3" s="2">
        <f>(K3-_DiameterMin)/(_DiameterMax-_DiameterMin)</f>
        <v>0.20767654810030464</v>
      </c>
      <c r="M3" s="2">
        <f>L3*_EarthRadius/100</f>
        <v>13.23107287947041</v>
      </c>
    </row>
    <row r="4" spans="1:13" x14ac:dyDescent="0.2">
      <c r="A4" t="s">
        <v>3</v>
      </c>
      <c r="B4">
        <v>107476170</v>
      </c>
      <c r="C4">
        <f>B4/_AU</f>
        <v>0.73064186721244773</v>
      </c>
      <c r="D4">
        <f t="shared" si="1"/>
        <v>-0.13629544548520728</v>
      </c>
      <c r="E4">
        <f>(D4-_DistanceMin)/(_DistanceMax-_DistanceMin)</f>
        <v>0.60438999711909724</v>
      </c>
      <c r="G4">
        <v>-243.0187</v>
      </c>
      <c r="H4" t="s">
        <v>20</v>
      </c>
      <c r="I4" t="s">
        <v>39</v>
      </c>
      <c r="J4">
        <f>Convert_Decimal(I4)</f>
        <v>1.6666666666666666E-2</v>
      </c>
      <c r="K4" s="2">
        <f t="shared" si="0"/>
        <v>1.7781512503836436</v>
      </c>
      <c r="L4" s="2">
        <f>(K4-_DiameterMin)/(_DiameterMax-_DiameterMin)</f>
        <v>0.39059546393821187</v>
      </c>
      <c r="M4" s="2">
        <f>L4*_EarthRadius/100</f>
        <v>24.884837007503478</v>
      </c>
    </row>
    <row r="5" spans="1:13" x14ac:dyDescent="0.2">
      <c r="A5" t="s">
        <v>4</v>
      </c>
      <c r="B5">
        <v>147098291</v>
      </c>
      <c r="C5">
        <f>B5/_AU</f>
        <v>1</v>
      </c>
      <c r="D5">
        <f t="shared" si="1"/>
        <v>0</v>
      </c>
      <c r="E5">
        <f>(D5-_DistanceMin)/(_DistanceMax-_DistanceMin)</f>
        <v>0.63771502012956838</v>
      </c>
      <c r="F5">
        <v>6371</v>
      </c>
      <c r="G5">
        <v>0.99726968000000005</v>
      </c>
      <c r="H5" t="s">
        <v>40</v>
      </c>
      <c r="I5" t="s">
        <v>43</v>
      </c>
      <c r="J5">
        <f>Convert_Decimal(I5)</f>
        <v>360</v>
      </c>
      <c r="K5" s="2">
        <f t="shared" si="0"/>
        <v>-2.5563025007672873</v>
      </c>
      <c r="L5" s="2">
        <f>(K5-_DiameterMin)/(_DiameterMax-_DiameterMin)</f>
        <v>1</v>
      </c>
      <c r="M5" s="2">
        <f>L5*_EarthRadius/100</f>
        <v>63.71</v>
      </c>
    </row>
    <row r="6" spans="1:13" x14ac:dyDescent="0.2">
      <c r="A6" t="s">
        <v>5</v>
      </c>
      <c r="B6">
        <v>206665215</v>
      </c>
      <c r="C6">
        <f>B6/_AU</f>
        <v>1.4049464041699846</v>
      </c>
      <c r="D6">
        <f t="shared" si="1"/>
        <v>0.14765975711142179</v>
      </c>
      <c r="E6">
        <f>(D6-_DistanceMin)/(_DistanceMax-_DistanceMin)</f>
        <v>0.6738186829184527</v>
      </c>
      <c r="G6">
        <v>1.02595675</v>
      </c>
      <c r="H6" t="s">
        <v>21</v>
      </c>
      <c r="I6" t="s">
        <v>30</v>
      </c>
      <c r="J6">
        <f>Convert_Decimal(I6)</f>
        <v>1.4166666666666666E-3</v>
      </c>
      <c r="K6" s="2">
        <f t="shared" si="0"/>
        <v>2.848732324669351</v>
      </c>
      <c r="L6" s="2">
        <f>(K6-_DiameterMin)/(_DiameterMax-_DiameterMin)</f>
        <v>0.24007662111554354</v>
      </c>
      <c r="M6" s="2">
        <f>L6*_EarthRadius/100</f>
        <v>15.295281531271279</v>
      </c>
    </row>
    <row r="7" spans="1:13" x14ac:dyDescent="0.2">
      <c r="A7" t="s">
        <v>6</v>
      </c>
      <c r="B7">
        <v>740679835</v>
      </c>
      <c r="C7">
        <f>B7/_AU</f>
        <v>5.035271517872359</v>
      </c>
      <c r="D7">
        <f t="shared" si="1"/>
        <v>0.70202289406230223</v>
      </c>
      <c r="E7">
        <f>(D7-_DistanceMin)/(_DistanceMax-_DistanceMin)</f>
        <v>0.80936366924780179</v>
      </c>
      <c r="G7">
        <v>0.41006999999999999</v>
      </c>
      <c r="H7" t="s">
        <v>22</v>
      </c>
      <c r="I7" t="s">
        <v>31</v>
      </c>
      <c r="J7">
        <f>Convert_Decimal(I7)</f>
        <v>2.7777777777777779E-5</v>
      </c>
      <c r="K7" s="2">
        <f t="shared" si="0"/>
        <v>4.5563025007672868</v>
      </c>
      <c r="L7" s="2">
        <f>(K7-_DiameterMin)/(_DiameterMax-_DiameterMin)</f>
        <v>0</v>
      </c>
      <c r="M7" s="2">
        <f>L7*_EarthRadius/100</f>
        <v>0</v>
      </c>
    </row>
    <row r="8" spans="1:13" x14ac:dyDescent="0.2">
      <c r="A8" t="s">
        <v>7</v>
      </c>
      <c r="B8">
        <v>1349823615</v>
      </c>
      <c r="C8">
        <f>B8/_AU</f>
        <v>9.1763378474601041</v>
      </c>
      <c r="D8">
        <f t="shared" si="1"/>
        <v>0.96266939471302437</v>
      </c>
      <c r="E8">
        <f>(D8-_DistanceMin)/(_DistanceMax-_DistanceMin)</f>
        <v>0.87309324290202039</v>
      </c>
      <c r="G8">
        <v>0.42599999999999999</v>
      </c>
      <c r="H8" t="s">
        <v>23</v>
      </c>
      <c r="I8" t="s">
        <v>32</v>
      </c>
      <c r="J8">
        <f>Convert_Decimal(I8)</f>
        <v>2.7777777777777779E-5</v>
      </c>
      <c r="K8" s="2">
        <f t="shared" si="0"/>
        <v>4.5563025007672868</v>
      </c>
      <c r="L8" s="2">
        <f>(K8-_DiameterMin)/(_DiameterMax-_DiameterMin)</f>
        <v>0</v>
      </c>
      <c r="M8" s="2">
        <f>L8*_EarthRadius/100</f>
        <v>0</v>
      </c>
    </row>
    <row r="9" spans="1:13" x14ac:dyDescent="0.2">
      <c r="A9" t="s">
        <v>8</v>
      </c>
      <c r="B9">
        <v>2734998229</v>
      </c>
      <c r="C9">
        <f>B9/_AU</f>
        <v>18.592997990710849</v>
      </c>
      <c r="D9">
        <f t="shared" si="1"/>
        <v>1.2693494223618293</v>
      </c>
      <c r="E9">
        <f>(D9-_DistanceMin)/(_DistanceMax-_DistanceMin)</f>
        <v>0.94807827957632029</v>
      </c>
      <c r="G9">
        <v>0.67125000000000001</v>
      </c>
      <c r="H9" t="s">
        <v>24</v>
      </c>
      <c r="I9" t="s">
        <v>33</v>
      </c>
      <c r="J9">
        <f>Convert_Decimal(I9)</f>
        <v>2.7777777777777779E-5</v>
      </c>
      <c r="K9" s="2">
        <f t="shared" si="0"/>
        <v>4.5563025007672868</v>
      </c>
      <c r="L9" s="2">
        <f>(K9-_DiameterMin)/(_DiameterMax-_DiameterMin)</f>
        <v>0</v>
      </c>
      <c r="M9" s="2">
        <f>L9*_EarthRadius/100</f>
        <v>0</v>
      </c>
    </row>
    <row r="10" spans="1:13" x14ac:dyDescent="0.2">
      <c r="A10" t="s">
        <v>9</v>
      </c>
      <c r="B10">
        <v>4459753056</v>
      </c>
      <c r="C10">
        <f>B10/_AU</f>
        <v>30.318184022953741</v>
      </c>
      <c r="D10">
        <f t="shared" si="1"/>
        <v>1.4817031846767197</v>
      </c>
      <c r="E10">
        <f>(D10-_DistanceMin)/(_DistanceMax-_DistanceMin)</f>
        <v>1</v>
      </c>
      <c r="G10">
        <v>0.67125000000000001</v>
      </c>
      <c r="H10" t="s">
        <v>25</v>
      </c>
      <c r="I10" t="s">
        <v>34</v>
      </c>
      <c r="J10">
        <f>Convert_Decimal(I10)</f>
        <v>1.1111111111111112E-4</v>
      </c>
      <c r="K10" s="2">
        <f t="shared" si="0"/>
        <v>3.9542425094393248</v>
      </c>
      <c r="L10" s="2">
        <f>(K10-_DiameterMin)/(_DiameterMax-_DiameterMin)</f>
        <v>8.4646903799390674E-2</v>
      </c>
      <c r="M10" s="2">
        <f>L10*_EarthRadius/100</f>
        <v>5.3928542410591795</v>
      </c>
    </row>
    <row r="11" spans="1:13" x14ac:dyDescent="0.2">
      <c r="A11" t="s">
        <v>10</v>
      </c>
      <c r="B11">
        <v>4436756954</v>
      </c>
      <c r="C11">
        <f>B11/_AU</f>
        <v>30.161852485424184</v>
      </c>
      <c r="D11">
        <f t="shared" si="1"/>
        <v>1.479458011584037</v>
      </c>
      <c r="E11">
        <f>(D11-_DistanceMin)/(_DistanceMax-_DistanceMin)</f>
        <v>0.9994510422214784</v>
      </c>
      <c r="G11">
        <v>-6.3871799999999999</v>
      </c>
      <c r="H11" t="s">
        <v>26</v>
      </c>
      <c r="I11" t="s">
        <v>35</v>
      </c>
      <c r="J11">
        <f>Convert_Decimal(I11)</f>
        <v>3.0555555555555554E-5</v>
      </c>
      <c r="K11" s="2">
        <f t="shared" si="0"/>
        <v>4.5149098156090623</v>
      </c>
      <c r="L11" s="2">
        <f>(K11-_DiameterMin)/(_DiameterMax-_DiameterMin)</f>
        <v>5.819623773468909E-3</v>
      </c>
      <c r="M11" s="2">
        <f>L11*_EarthRadius/100</f>
        <v>0.37076823060770425</v>
      </c>
    </row>
    <row r="12" spans="1:13" x14ac:dyDescent="0.2">
      <c r="A12" t="s">
        <v>14</v>
      </c>
      <c r="B12">
        <v>362600</v>
      </c>
      <c r="C12">
        <f>B12/_AU</f>
        <v>2.4650184413087437E-3</v>
      </c>
      <c r="D12">
        <f>LOG(C12)</f>
        <v>-2.6081798273284682</v>
      </c>
      <c r="E12">
        <f>(D12-_DistanceMin)/(_DistanceMax-_DistanceMin)</f>
        <v>0</v>
      </c>
      <c r="G12">
        <v>27.321660999999999</v>
      </c>
      <c r="H12" t="s">
        <v>29</v>
      </c>
      <c r="I12" t="s">
        <v>36</v>
      </c>
      <c r="J12">
        <f>Convert_Decimal(I12)</f>
        <v>0.56666666666666665</v>
      </c>
      <c r="K12" s="2">
        <f t="shared" si="0"/>
        <v>0.24667233334138849</v>
      </c>
      <c r="L12" s="2">
        <f>(K12-_DiameterMin)/(_DiameterMax-_DiameterMin)</f>
        <v>0.60591445279135814</v>
      </c>
      <c r="M12" s="2">
        <f>L12*_EarthRadius/100</f>
        <v>38.602809787337428</v>
      </c>
    </row>
    <row r="13" spans="1:13" x14ac:dyDescent="0.2">
      <c r="A13" t="s">
        <v>15</v>
      </c>
      <c r="B13">
        <v>380951528</v>
      </c>
      <c r="C13">
        <f>B13/_AU</f>
        <v>2.5897753495994049</v>
      </c>
      <c r="D13">
        <f>LOG(C13)</f>
        <v>0.41326209278363291</v>
      </c>
      <c r="E13">
        <f>(D13-_DistanceMin)/(_DistanceMax-_DistanceMin)</f>
        <v>0.73875998683657895</v>
      </c>
      <c r="G13">
        <v>0.37808999999999998</v>
      </c>
      <c r="H13" t="s">
        <v>27</v>
      </c>
      <c r="I13" t="s">
        <v>37</v>
      </c>
      <c r="J13">
        <f>Convert_Decimal(I13)</f>
        <v>2.3333333333333333E-4</v>
      </c>
      <c r="K13" s="2">
        <f t="shared" si="0"/>
        <v>3.6320232147054057</v>
      </c>
      <c r="L13" s="2">
        <f>(K13-_DiameterMin)/(_DiameterMax-_DiameterMin)</f>
        <v>0.12994947503234949</v>
      </c>
      <c r="M13" s="2">
        <f>L13*_EarthRadius/100</f>
        <v>8.2790810543109856</v>
      </c>
    </row>
    <row r="15" spans="1:13" x14ac:dyDescent="0.2">
      <c r="C15">
        <f>MAX(Table1[Distance (AU)])</f>
        <v>30.318184022953741</v>
      </c>
      <c r="D15">
        <f>MAX(Table1[Log Distance])</f>
        <v>1.4817031846767197</v>
      </c>
      <c r="K15">
        <f>MAX(Table1[LogDiameter])</f>
        <v>4.5563025007672868</v>
      </c>
    </row>
    <row r="16" spans="1:13" x14ac:dyDescent="0.2">
      <c r="C16">
        <f>MIN(Table1[Distance (AU)])</f>
        <v>2.4650184413087437E-3</v>
      </c>
      <c r="D16">
        <f>MIN(Table1[Log Distance])</f>
        <v>-2.6081798273284682</v>
      </c>
      <c r="K16">
        <f>MIN(Table1[LogDiameter])</f>
        <v>-2.5563025007672873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_AU</vt:lpstr>
      <vt:lpstr>_DiameterMax</vt:lpstr>
      <vt:lpstr>_DiameterMin</vt:lpstr>
      <vt:lpstr>_DistanceMax</vt:lpstr>
      <vt:lpstr>_DistanceMin</vt:lpstr>
      <vt:lpstr>_EarthRadius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Olejniczak</dc:creator>
  <cp:lastModifiedBy>Peter Olejniczak</cp:lastModifiedBy>
  <dcterms:created xsi:type="dcterms:W3CDTF">2019-04-25T21:20:01Z</dcterms:created>
  <dcterms:modified xsi:type="dcterms:W3CDTF">2019-04-25T22:45:31Z</dcterms:modified>
</cp:coreProperties>
</file>